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filterPrivacy="1"/>
  <xr:revisionPtr revIDLastSave="0" documentId="8_{77893F20-99C3-4808-AC41-389593B82C06}" xr6:coauthVersionLast="47" xr6:coauthVersionMax="47" xr10:uidLastSave="{00000000-0000-0000-0000-000000000000}"/>
  <bookViews>
    <workbookView xWindow="-110" yWindow="-110" windowWidth="25820" windowHeight="15500" activeTab="1" xr2:uid="{00000000-000D-0000-FFFF-FFFF00000000}"/>
  </bookViews>
  <sheets>
    <sheet name="Traceability Table, Section 9.1" sheetId="4" r:id="rId1"/>
    <sheet name="Traceability Table Appendix C" sheetId="1" r:id="rId2"/>
    <sheet name="Interview Guide Appendix A" sheetId="3" r:id="rId3"/>
    <sheet name="Participant Overview Appendix B" sheetId="2" r:id="rId4"/>
  </sheets>
  <definedNames>
    <definedName name="_xlnm._FilterDatabase" localSheetId="3" hidden="1">'Participant Overview Appendix B'!$D$2:$D$27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8" i="2" l="1"/>
  <c r="D29" i="2" s="1"/>
</calcChain>
</file>

<file path=xl/sharedStrings.xml><?xml version="1.0" encoding="utf-8"?>
<sst xmlns="http://schemas.openxmlformats.org/spreadsheetml/2006/main" count="380" uniqueCount="196">
  <si>
    <t>Req. ID</t>
  </si>
  <si>
    <t>Function/Feature</t>
  </si>
  <si>
    <t>Description</t>
  </si>
  <si>
    <t>Pain Point Summary/Basis</t>
  </si>
  <si>
    <t>Source Interview</t>
  </si>
  <si>
    <t>MoSCoW</t>
  </si>
  <si>
    <t>Transferability</t>
  </si>
  <si>
    <t>Prototype Status</t>
  </si>
  <si>
    <t>Access Features</t>
  </si>
  <si>
    <t>FR-1</t>
  </si>
  <si>
    <t>Role-Based Access (4 roles)</t>
  </si>
  <si>
    <t>Adapted from the current process documentation in TUM Campus Heilbronn</t>
  </si>
  <si>
    <t>Process Documentation</t>
  </si>
  <si>
    <t>Must</t>
  </si>
  <si>
    <t>Adaptable</t>
  </si>
  <si>
    <t>NFR-1</t>
  </si>
  <si>
    <t>Identity Verification</t>
  </si>
  <si>
    <t>Reuse institutional logins for student/staff identity. Verified company email domain as a lightweight company check</t>
  </si>
  <si>
    <t>Need for trust and verification</t>
  </si>
  <si>
    <t>C4</t>
  </si>
  <si>
    <t>Generic</t>
  </si>
  <si>
    <t>Company Features</t>
  </si>
  <si>
    <t>FR-2</t>
  </si>
  <si>
    <t>Company Project Submission Portal</t>
  </si>
  <si>
    <t>Mandatory fields include: Project Title, Required Area of expertise, Project Background and Objective, Project Deliverable, Available Company Resources, Required Student Skills, Required Group Size, Company Contact Person (adapted from the current project proposal sheet)</t>
  </si>
  <si>
    <t>Missing or insufficient listing information, information standardization</t>
  </si>
  <si>
    <t>S7, S8, S9, P3, P4, P6</t>
  </si>
  <si>
    <t>FR-3</t>
  </si>
  <si>
    <t>Submission Review and Approval</t>
  </si>
  <si>
    <t>Should</t>
  </si>
  <si>
    <t>TUM-specific</t>
  </si>
  <si>
    <t>FR-4</t>
  </si>
  <si>
    <t>Company Browse</t>
  </si>
  <si>
    <t>C2 (directly suggested this feature), C5, S12</t>
  </si>
  <si>
    <t>FR-5</t>
  </si>
  <si>
    <t>Contact and coordination burden</t>
  </si>
  <si>
    <t>P3, P4, U1, U2</t>
  </si>
  <si>
    <t>FR-6</t>
  </si>
  <si>
    <t>FR-7</t>
  </si>
  <si>
    <t>Student Features</t>
  </si>
  <si>
    <t>FR-8</t>
  </si>
  <si>
    <t>Student Project Submission Portal</t>
  </si>
  <si>
    <t>Absence of a clear overview of available posting/collaboration options; application process friction</t>
  </si>
  <si>
    <t>C2, C4, C5, S12</t>
  </si>
  <si>
    <t>FR-9</t>
  </si>
  <si>
    <t>Student Profiles</t>
  </si>
  <si>
    <t>Student profiles list program/degree (can be sourced from institution login)</t>
  </si>
  <si>
    <t>Team Decision</t>
  </si>
  <si>
    <t>FR-10</t>
  </si>
  <si>
    <t>Student Team Matching</t>
  </si>
  <si>
    <t>Student chooses to set the status on their profile to 'seeking teammates' + field for a small message and contact information, profiles are filterable by this status</t>
  </si>
  <si>
    <t>Team Formation</t>
  </si>
  <si>
    <t>S10</t>
  </si>
  <si>
    <t>Could</t>
  </si>
  <si>
    <t>FR-11</t>
  </si>
  <si>
    <t>Student Browse Available Projects and Apply</t>
  </si>
  <si>
    <t>Discoverability; missing or insufficient listing information</t>
  </si>
  <si>
    <t>S6, S7, S8, S9</t>
  </si>
  <si>
    <t>FR-12</t>
  </si>
  <si>
    <t>Application Status Visibility</t>
  </si>
  <si>
    <t>Simple accepted/rejected status per application</t>
  </si>
  <si>
    <t>Application process friction; communication and responsiveness</t>
  </si>
  <si>
    <t>S1, S8, S12, S13</t>
  </si>
  <si>
    <t>General Features</t>
  </si>
  <si>
    <t>NFR-2</t>
  </si>
  <si>
    <t xml:space="preserve">Data Protection for Submitted Documents
</t>
  </si>
  <si>
    <t>Personal data privacy</t>
  </si>
  <si>
    <t>NFR-3</t>
  </si>
  <si>
    <t>Language Support</t>
  </si>
  <si>
    <t>Many international students</t>
  </si>
  <si>
    <t>S5, S7, S10</t>
  </si>
  <si>
    <t>FR-13</t>
  </si>
  <si>
    <t>Status-Change Notifications</t>
  </si>
  <si>
    <t>Automated notification (e.g. email) when an application's status changes or a listing closes</t>
  </si>
  <si>
    <t>Contact and coordination burden; communication and responsiveness</t>
  </si>
  <si>
    <t>S8, U1, U2</t>
  </si>
  <si>
    <t>FR-14</t>
  </si>
  <si>
    <t>Lightweight Progress Check-in</t>
  </si>
  <si>
    <t>P4</t>
  </si>
  <si>
    <t>FR-15</t>
  </si>
  <si>
    <t>More say in student selection can increase company satisfaction with project studies</t>
  </si>
  <si>
    <t>FR-16</t>
  </si>
  <si>
    <t>Manual Multi-Offer Decision</t>
  </si>
  <si>
    <t>If accepted to multiple projects, student manually confirms one and manually withdraws the others</t>
  </si>
  <si>
    <t>Staff Features</t>
  </si>
  <si>
    <t>FR-17</t>
  </si>
  <si>
    <t>Staff Master Dashboard</t>
  </si>
  <si>
    <t>View all project studies across every status: pending, approved, not yet supervised, ongoing, filled</t>
  </si>
  <si>
    <t>U1, U2</t>
  </si>
  <si>
    <t>FR-18</t>
  </si>
  <si>
    <t>Filter Incoming Submissions</t>
  </si>
  <si>
    <t>Staff can filter/search incoming company submissions during review</t>
  </si>
  <si>
    <t>Stakeholder Group</t>
  </si>
  <si>
    <t>S1</t>
  </si>
  <si>
    <t>TUM Campus Garching Student 1</t>
  </si>
  <si>
    <t>Student</t>
  </si>
  <si>
    <t>S2</t>
  </si>
  <si>
    <t>TUM Campus Heilbronn Student 1</t>
  </si>
  <si>
    <t>S3</t>
  </si>
  <si>
    <t>TUM Campus Garching Student 2</t>
  </si>
  <si>
    <t>S4</t>
  </si>
  <si>
    <t>TUM Campus Heilbronn Student 2</t>
  </si>
  <si>
    <t>S5</t>
  </si>
  <si>
    <t>TUM Campus Heilbronn Student 3</t>
  </si>
  <si>
    <t>S6</t>
  </si>
  <si>
    <t>RWTH Aachen University Student</t>
  </si>
  <si>
    <t>S7</t>
  </si>
  <si>
    <t>TUM Campus Heilbronn Student 4</t>
  </si>
  <si>
    <t>S8</t>
  </si>
  <si>
    <t>TUM Campus Heilbronn Student 5</t>
  </si>
  <si>
    <t>S9</t>
  </si>
  <si>
    <t>TUM Campus Heilbronn Student 6</t>
  </si>
  <si>
    <t>TUM Campus Heilbronn Student 7</t>
  </si>
  <si>
    <t>S11</t>
  </si>
  <si>
    <t>Reutlingen University Student</t>
  </si>
  <si>
    <t>S12</t>
  </si>
  <si>
    <t>TUM Campus Heilbronn Student 8</t>
  </si>
  <si>
    <t>S13</t>
  </si>
  <si>
    <t>TUM Campus Heilbronn Student 9</t>
  </si>
  <si>
    <t>C1</t>
  </si>
  <si>
    <t>Founder of IT Solution Startup</t>
  </si>
  <si>
    <t>Company</t>
  </si>
  <si>
    <t>C2</t>
  </si>
  <si>
    <t>IDS HR Business Partner</t>
  </si>
  <si>
    <t>C3</t>
  </si>
  <si>
    <t>Atlas Copco Manager Apprenticeship</t>
  </si>
  <si>
    <t>SAP Campus Ambassadors Lead</t>
  </si>
  <si>
    <t>C5</t>
  </si>
  <si>
    <t>Schneider HR Department</t>
  </si>
  <si>
    <t>P1</t>
  </si>
  <si>
    <t>Koblenz University Professor</t>
  </si>
  <si>
    <t>Professor (external)</t>
  </si>
  <si>
    <t>P2</t>
  </si>
  <si>
    <t>TUM Campus Munich Professor</t>
  </si>
  <si>
    <t>Professor (external, other campus)</t>
  </si>
  <si>
    <t>P3</t>
  </si>
  <si>
    <t>TUM Campus Heilbronn Professor</t>
  </si>
  <si>
    <t>Professor (TUM Heilbronn)</t>
  </si>
  <si>
    <t>P5</t>
  </si>
  <si>
    <t>RWTH Aachen University Professor</t>
  </si>
  <si>
    <t>P6</t>
  </si>
  <si>
    <t>Passau University PhD Candidate</t>
  </si>
  <si>
    <t>Research Candidate (external)</t>
  </si>
  <si>
    <t>U1</t>
  </si>
  <si>
    <t>TUM Campus Heilbronn Administrative Staff 1</t>
  </si>
  <si>
    <t>University staff (TUM Heilbronn)</t>
  </si>
  <si>
    <t>U2</t>
  </si>
  <si>
    <t>TUM Campus Heilbronn Administrative Staff 2</t>
  </si>
  <si>
    <t>#</t>
  </si>
  <si>
    <t>Topic</t>
  </si>
  <si>
    <t>Current collaboration experience</t>
  </si>
  <si>
    <t>Tell us about your experience with academia-industry collaboration (e.g. how you found or engaged in it, application/agreement process, communication with the other side).</t>
  </si>
  <si>
    <t>Motivation</t>
  </si>
  <si>
    <t>What motivates you to take part in this kind of collaboration?</t>
  </si>
  <si>
    <t>Problems and pain points</t>
  </si>
  <si>
    <t>What problems or pain points have held you back, or made this harder than it needed to be?</t>
  </si>
  <si>
    <t>Platform/solution needs</t>
  </si>
  <si>
    <t>If there were a platform supporting this kind of collaboration, what would you want to see or find useful?</t>
  </si>
  <si>
    <r>
      <t xml:space="preserve">Four distinct login/user types (Student, Company, </t>
    </r>
    <r>
      <rPr>
        <sz val="10"/>
        <color rgb="FFFF0000"/>
        <rFont val="Arial"/>
        <family val="2"/>
      </rPr>
      <t>Professor / Supervisor</t>
    </r>
    <r>
      <rPr>
        <sz val="10"/>
        <rFont val="Arial"/>
        <family val="2"/>
      </rPr>
      <t>, Staff). Each must have a tailored dashboard</t>
    </r>
  </si>
  <si>
    <r>
      <t xml:space="preserve">New project submissions recorded as 'pending'; staff approve before </t>
    </r>
    <r>
      <rPr>
        <sz val="10"/>
        <color rgb="FFFF0000"/>
        <rFont val="Arial"/>
        <family val="2"/>
      </rPr>
      <t>professor and supervisor</t>
    </r>
    <r>
      <rPr>
        <sz val="10"/>
        <rFont val="Arial"/>
        <family val="2"/>
      </rPr>
      <t xml:space="preserve"> visibility</t>
    </r>
  </si>
  <si>
    <r>
      <t xml:space="preserve">Companies browse student-submitted topics; acceptance requires the company to fill in mandatory fields (company name, company contact information), and the completed entry becomes visible to </t>
    </r>
    <r>
      <rPr>
        <sz val="10"/>
        <color rgb="FFFF0000"/>
        <rFont val="Arial"/>
        <family val="2"/>
      </rPr>
      <t>professors and supervisors</t>
    </r>
  </si>
  <si>
    <r>
      <rPr>
        <sz val="10"/>
        <color rgb="FFFF0000"/>
        <rFont val="Arial"/>
        <family val="2"/>
      </rPr>
      <t>Professor / Supervisor</t>
    </r>
    <r>
      <rPr>
        <sz val="10"/>
        <rFont val="Arial"/>
        <family val="2"/>
      </rPr>
      <t xml:space="preserve"> Features</t>
    </r>
  </si>
  <si>
    <r>
      <rPr>
        <sz val="10"/>
        <color rgb="FFFF0000"/>
        <rFont val="Arial"/>
        <family val="2"/>
      </rPr>
      <t>Professor / Supervisor</t>
    </r>
    <r>
      <rPr>
        <sz val="10"/>
        <rFont val="Arial"/>
        <family val="2"/>
      </rPr>
      <t xml:space="preserve"> Profiles and Expertise Matching</t>
    </r>
  </si>
  <si>
    <r>
      <rPr>
        <sz val="10"/>
        <color rgb="FFFF0000"/>
        <rFont val="Arial"/>
        <family val="2"/>
      </rPr>
      <t>Professor / supervisor</t>
    </r>
    <r>
      <rPr>
        <sz val="10"/>
        <rFont val="Arial"/>
        <family val="2"/>
      </rPr>
      <t xml:space="preserve"> profiles list chair/expertise (can be sourced from institution login); on login, </t>
    </r>
    <r>
      <rPr>
        <sz val="10"/>
        <color rgb="FFFF0000"/>
        <rFont val="Arial"/>
        <family val="2"/>
      </rPr>
      <t>professors / supervisors</t>
    </r>
    <r>
      <rPr>
        <sz val="10"/>
        <rFont val="Arial"/>
        <family val="2"/>
      </rPr>
      <t xml:space="preserve"> see project entries matched to their area of expertise</t>
    </r>
  </si>
  <si>
    <r>
      <t xml:space="preserve">To accept a project submission, </t>
    </r>
    <r>
      <rPr>
        <sz val="10"/>
        <color rgb="FFFF0000"/>
        <rFont val="Arial"/>
        <family val="2"/>
      </rPr>
      <t>professor / supervisor</t>
    </r>
    <r>
      <rPr>
        <sz val="10"/>
        <rFont val="Arial"/>
        <family val="2"/>
      </rPr>
      <t xml:space="preserve"> fills in rest of the required information (chair contact information, application deadline and list required application documents); project becomes visible for students</t>
    </r>
  </si>
  <si>
    <r>
      <rPr>
        <sz val="10"/>
        <color rgb="FFFF0000"/>
        <rFont val="Arial"/>
        <family val="2"/>
      </rPr>
      <t>Supervision</t>
    </r>
    <r>
      <rPr>
        <sz val="10"/>
        <rFont val="Arial"/>
        <family val="2"/>
      </rPr>
      <t xml:space="preserve"> Take-on</t>
    </r>
  </si>
  <si>
    <r>
      <t>Direct Project Submission (</t>
    </r>
    <r>
      <rPr>
        <sz val="10"/>
        <color rgb="FFFF0000"/>
        <rFont val="Arial"/>
        <family val="2"/>
      </rPr>
      <t>Professor / Supervisor</t>
    </r>
    <r>
      <rPr>
        <sz val="10"/>
        <rFont val="Arial"/>
        <family val="2"/>
      </rPr>
      <t xml:space="preserve"> + Company Agreement)</t>
    </r>
  </si>
  <si>
    <r>
      <t xml:space="preserve">When a company and professor agree directly to offer a project study, </t>
    </r>
    <r>
      <rPr>
        <sz val="10"/>
        <color rgb="FFFF0000"/>
        <rFont val="Arial"/>
        <family val="2"/>
      </rPr>
      <t>professors / supervisors</t>
    </r>
    <r>
      <rPr>
        <sz val="10"/>
        <rFont val="Arial"/>
        <family val="2"/>
      </rPr>
      <t xml:space="preserve"> can submit it with the mandatory fields filled directly for the students to apply</t>
    </r>
  </si>
  <si>
    <r>
      <t xml:space="preserve">Enables student team matching; allows students to be filtered by degree by </t>
    </r>
    <r>
      <rPr>
        <sz val="10"/>
        <color rgb="FFFF0000"/>
        <rFont val="Arial"/>
        <family val="2"/>
      </rPr>
      <t>professors / supervisors</t>
    </r>
    <r>
      <rPr>
        <sz val="10"/>
        <rFont val="Arial"/>
        <family val="2"/>
      </rPr>
      <t xml:space="preserve"> and companies</t>
    </r>
  </si>
  <si>
    <r>
      <t xml:space="preserve">A student application requires both </t>
    </r>
    <r>
      <rPr>
        <sz val="10"/>
        <color rgb="FFFF0000"/>
        <rFont val="Arial"/>
        <family val="2"/>
      </rPr>
      <t>professor / supervisor</t>
    </r>
    <r>
      <rPr>
        <sz val="10"/>
        <color theme="1"/>
        <rFont val="Arial"/>
        <family val="2"/>
      </rPr>
      <t xml:space="preserve"> and company sign-off before being finalized</t>
    </r>
  </si>
  <si>
    <r>
      <t xml:space="preserve">Absence of a clear overview of available posting/collaboration options; difficulty finding a </t>
    </r>
    <r>
      <rPr>
        <sz val="10"/>
        <color rgb="FFFF0000"/>
        <rFont val="Arial"/>
        <family val="2"/>
      </rPr>
      <t>supervisor</t>
    </r>
  </si>
  <si>
    <r>
      <t xml:space="preserve">Simple, non-rigid check-in mechanism between student and </t>
    </r>
    <r>
      <rPr>
        <sz val="10"/>
        <color rgb="FFFF0000"/>
        <rFont val="Arial"/>
        <family val="2"/>
      </rPr>
      <t>professor / supervisor</t>
    </r>
    <r>
      <rPr>
        <sz val="10"/>
        <color theme="1"/>
        <rFont val="Arial"/>
        <family val="2"/>
      </rPr>
      <t xml:space="preserve"> during the project</t>
    </r>
  </si>
  <si>
    <t>Built</t>
  </si>
  <si>
    <t>Partial</t>
  </si>
  <si>
    <t>Format</t>
  </si>
  <si>
    <t>ID</t>
  </si>
  <si>
    <t>Interviewee/Response</t>
  </si>
  <si>
    <t>Interview</t>
  </si>
  <si>
    <t>Written response</t>
  </si>
  <si>
    <t>Int. count:</t>
  </si>
  <si>
    <t>Written res. count:</t>
  </si>
  <si>
    <t>no approval button</t>
  </si>
  <si>
    <t>no button to accept/approve</t>
  </si>
  <si>
    <r>
      <rPr>
        <sz val="10"/>
        <color rgb="FF000000"/>
        <rFont val="Arial"/>
        <family val="2"/>
      </rPr>
      <t xml:space="preserve">Only the specific </t>
    </r>
    <r>
      <rPr>
        <sz val="10"/>
        <color rgb="FFFF0000"/>
        <rFont val="Arial"/>
        <family val="2"/>
      </rPr>
      <t>professor / supervisor</t>
    </r>
    <r>
      <rPr>
        <sz val="10"/>
        <color rgb="FF000000"/>
        <rFont val="Arial"/>
        <family val="2"/>
      </rPr>
      <t xml:space="preserve"> and company reviewing an application can see the application materials submitted</t>
    </r>
  </si>
  <si>
    <t>Not planned, as for that we would need access to a server to host the backend</t>
  </si>
  <si>
    <r>
      <rPr>
        <sz val="10"/>
        <color rgb="FF000000"/>
        <rFont val="Arial"/>
        <family val="2"/>
      </rPr>
      <t>Dual Approval (</t>
    </r>
    <r>
      <rPr>
        <sz val="10"/>
        <color rgb="FFFF0000"/>
        <rFont val="Arial"/>
        <family val="2"/>
      </rPr>
      <t>Professor/ Supervisor</t>
    </r>
    <r>
      <rPr>
        <sz val="10"/>
        <color rgb="FF000000"/>
        <rFont val="Arial"/>
        <family val="2"/>
      </rPr>
      <t xml:space="preserve"> + Company)</t>
    </r>
  </si>
  <si>
    <t>Students view available projects with full info (company, expertise, application deadline, skills) and contact person; they apply for a given entry by submitting the required documents</t>
  </si>
  <si>
    <r>
      <rPr>
        <sz val="10"/>
        <color rgb="FF000000"/>
        <rFont val="Arial"/>
        <family val="2"/>
      </rPr>
      <t xml:space="preserve">Students' engagement with </t>
    </r>
    <r>
      <rPr>
        <sz val="10"/>
        <color rgb="FFFF0000"/>
        <rFont val="Arial"/>
        <family val="2"/>
      </rPr>
      <t>professor / supervisors</t>
    </r>
    <r>
      <rPr>
        <sz val="10"/>
        <color rgb="FF000000"/>
        <rFont val="Arial"/>
        <family val="2"/>
      </rPr>
      <t xml:space="preserve"> during the project</t>
    </r>
  </si>
  <si>
    <t>Not Planned</t>
  </si>
  <si>
    <t>Mandatory fields include: Project Title, Required Area of expertise, Project Background and Objective, Project Deliverable, Required Company Resources, Group Size, Student Team Contact Person (adapted from the current project proposal sheet)</t>
  </si>
  <si>
    <t>The platform should be viewable in German and English.</t>
  </si>
  <si>
    <t>Guiding Question</t>
  </si>
  <si>
    <t>Professor / Supervisor Features</t>
  </si>
  <si>
    <r>
      <rPr>
        <sz val="10"/>
        <color rgb="FF000000"/>
        <rFont val="Arial"/>
      </rPr>
      <t xml:space="preserve">Students' engagement with </t>
    </r>
    <r>
      <rPr>
        <sz val="10"/>
        <color rgb="FFFF0000"/>
        <rFont val="Arial"/>
      </rPr>
      <t>professor / supervisors</t>
    </r>
    <r>
      <rPr>
        <sz val="10"/>
        <color rgb="FF000000"/>
        <rFont val="Arial"/>
      </rPr>
      <t xml:space="preserve"> during the project</t>
    </r>
  </si>
  <si>
    <t>Compnaies can browse the topics, but when it comes to acceptance, there is button to accept, but after clicking it, there is no small window to ask the companies to enter the mandatory fields.Since we don't require companies' profile, companies have to enter the mandatory fields when they want to accept the topic.</t>
  </si>
  <si>
    <t>Not planned, as for that we would need access to a server to host the backend.so far our platform is only developed in frontend. This requirement requires backend functionalities. We cannot submit any documents in frontend yet, so it is not planned to be built for now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</si>
</sst>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rgb="FFFFFFFF"/>
      <name val="Arial"/>
      <family val="2"/>
    </font>
    <font>
      <sz val="10"/>
      <name val="Arial"/>
      <family val="2"/>
    </font>
    <font>
      <b/>
      <sz val="10"/>
      <name val="Arial"/>
      <family val="2"/>
    </font>
    <font>
      <sz val="11"/>
      <color theme="1"/>
      <name val="Arial"/>
      <family val="2"/>
    </font>
    <font>
      <sz val="10"/>
      <color theme="1"/>
      <name val="Arial"/>
      <family val="2"/>
    </font>
    <font>
      <b/>
      <sz val="11"/>
      <color theme="0"/>
      <name val="Arial"/>
      <family val="2"/>
    </font>
    <font>
      <sz val="10"/>
      <color rgb="FFFF0000"/>
      <name val="Arial"/>
      <family val="2"/>
    </font>
    <font>
      <b/>
      <sz val="11"/>
      <color theme="0"/>
      <name val="Calibri"/>
      <family val="2"/>
      <scheme val="minor"/>
    </font>
    <font>
      <sz val="10"/>
      <color rgb="FF000000"/>
      <name val="Arial"/>
      <family val="2"/>
    </font>
    <font>
      <b/>
      <sz val="11"/>
      <color rgb="FFFFFFFF"/>
      <name val="Arial"/>
    </font>
    <font>
      <sz val="10"/>
      <name val="Arial"/>
    </font>
    <font>
      <sz val="10"/>
      <color theme="1"/>
      <name val="Arial"/>
    </font>
    <font>
      <b/>
      <sz val="10"/>
      <name val="Arial"/>
    </font>
    <font>
      <sz val="10"/>
      <color rgb="FF000000"/>
      <name val="Arial"/>
    </font>
    <font>
      <sz val="10"/>
      <color rgb="FFFF0000"/>
      <name val="Arial"/>
    </font>
  </fonts>
  <fills count="9">
    <fill>
      <patternFill patternType="none"/>
    </fill>
    <fill>
      <patternFill patternType="gray125"/>
    </fill>
    <fill>
      <patternFill patternType="solid">
        <fgColor theme="4" tint="-0.249977111117893"/>
        <bgColor rgb="FF2F5496"/>
      </patternFill>
    </fill>
    <fill>
      <patternFill patternType="solid">
        <fgColor theme="4" tint="0.79998168889431442"/>
        <bgColor rgb="FFD9E1F2"/>
      </patternFill>
    </fill>
    <fill>
      <patternFill patternType="solid">
        <fgColor theme="0"/>
        <bgColor rgb="FFD9E1F2"/>
      </patternFill>
    </fill>
    <fill>
      <patternFill patternType="solid">
        <fgColor theme="0"/>
        <bgColor rgb="FFFFF2CC"/>
      </patternFill>
    </fill>
    <fill>
      <patternFill patternType="solid">
        <fgColor theme="4" tint="-0.249977111117893"/>
        <bgColor indexed="64"/>
      </patternFill>
    </fill>
    <fill>
      <patternFill patternType="solid">
        <fgColor rgb="FF0070C0"/>
        <bgColor indexed="64"/>
      </patternFill>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1">
    <xf numFmtId="0" fontId="0" fillId="0" borderId="0" xfId="0"/>
    <xf numFmtId="0" fontId="1" fillId="2" borderId="1" xfId="0" applyFont="1" applyFill="1" applyBorder="1" applyAlignment="1">
      <alignment horizontal="left" vertical="top" wrapText="1"/>
    </xf>
    <xf numFmtId="0" fontId="2" fillId="3" borderId="2" xfId="0" applyFont="1" applyFill="1" applyBorder="1" applyAlignment="1">
      <alignment horizontal="left" vertical="top" wrapText="1"/>
    </xf>
    <xf numFmtId="0" fontId="3" fillId="3" borderId="2" xfId="0" applyFont="1" applyFill="1" applyBorder="1" applyAlignment="1">
      <alignment horizontal="left" vertical="top" wrapText="1"/>
    </xf>
    <xf numFmtId="0" fontId="2" fillId="0" borderId="1" xfId="0" applyFont="1" applyBorder="1" applyAlignment="1">
      <alignment horizontal="left" vertical="top" wrapText="1"/>
    </xf>
    <xf numFmtId="0" fontId="2" fillId="3" borderId="1" xfId="0" applyFont="1" applyFill="1" applyBorder="1" applyAlignment="1">
      <alignment horizontal="left" vertical="top" wrapText="1"/>
    </xf>
    <xf numFmtId="0" fontId="3" fillId="3" borderId="1" xfId="0" applyFont="1" applyFill="1" applyBorder="1" applyAlignment="1">
      <alignment horizontal="left" vertical="top" wrapText="1"/>
    </xf>
    <xf numFmtId="0" fontId="4" fillId="0" borderId="1" xfId="0" applyFont="1" applyBorder="1" applyAlignment="1">
      <alignment horizontal="left" vertical="top"/>
    </xf>
    <xf numFmtId="0" fontId="2" fillId="4" borderId="1" xfId="0" applyFont="1" applyFill="1" applyBorder="1" applyAlignment="1">
      <alignment horizontal="left" vertical="top" wrapText="1"/>
    </xf>
    <xf numFmtId="0" fontId="5" fillId="0" borderId="1" xfId="0" applyFont="1" applyBorder="1" applyAlignment="1">
      <alignment horizontal="left" vertical="top" wrapText="1"/>
    </xf>
    <xf numFmtId="0" fontId="5" fillId="5"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6" fillId="6" borderId="1" xfId="0" applyFont="1" applyFill="1" applyBorder="1" applyAlignment="1">
      <alignment horizontal="left" vertical="top" wrapText="1"/>
    </xf>
    <xf numFmtId="0" fontId="1" fillId="2" borderId="1" xfId="0" applyFont="1" applyFill="1" applyBorder="1" applyAlignment="1">
      <alignment horizontal="center" vertical="top" wrapText="1"/>
    </xf>
    <xf numFmtId="0" fontId="4" fillId="0" borderId="3" xfId="0" applyFont="1" applyFill="1" applyBorder="1" applyAlignment="1">
      <alignment horizontal="left" vertical="top"/>
    </xf>
    <xf numFmtId="0" fontId="2" fillId="0" borderId="3" xfId="0" applyFont="1" applyFill="1" applyBorder="1" applyAlignment="1">
      <alignment horizontal="left" vertical="top" wrapText="1"/>
    </xf>
    <xf numFmtId="0" fontId="2" fillId="0" borderId="4" xfId="0" applyFont="1" applyFill="1" applyBorder="1" applyAlignment="1">
      <alignment horizontal="left" vertical="top" wrapText="1"/>
    </xf>
    <xf numFmtId="0" fontId="8" fillId="7" borderId="5" xfId="0" applyFont="1" applyFill="1" applyBorder="1" applyAlignment="1">
      <alignment horizontal="left" vertical="top"/>
    </xf>
    <xf numFmtId="0" fontId="5" fillId="0" borderId="5" xfId="0" applyFont="1" applyBorder="1" applyAlignment="1">
      <alignment horizontal="left" vertical="top"/>
    </xf>
    <xf numFmtId="0" fontId="2" fillId="4" borderId="3" xfId="0" applyFont="1" applyFill="1" applyBorder="1" applyAlignment="1">
      <alignment horizontal="left" vertical="top" wrapText="1"/>
    </xf>
    <xf numFmtId="0" fontId="10" fillId="2" borderId="1" xfId="0" applyFont="1" applyFill="1" applyBorder="1" applyAlignment="1">
      <alignment horizontal="center" vertical="top" wrapText="1"/>
    </xf>
    <xf numFmtId="0" fontId="11" fillId="3" borderId="2" xfId="0" applyFont="1" applyFill="1" applyBorder="1" applyAlignment="1">
      <alignment horizontal="left" vertical="top" wrapText="1"/>
    </xf>
    <xf numFmtId="0" fontId="11" fillId="0" borderId="1" xfId="0" applyFont="1" applyBorder="1" applyAlignment="1">
      <alignment horizontal="left" vertical="top" wrapText="1"/>
    </xf>
    <xf numFmtId="0" fontId="11" fillId="3" borderId="1" xfId="0" applyFont="1" applyFill="1" applyBorder="1" applyAlignment="1">
      <alignment horizontal="left" vertical="top" wrapText="1"/>
    </xf>
    <xf numFmtId="0" fontId="11" fillId="4" borderId="1" xfId="0" applyFont="1" applyFill="1" applyBorder="1" applyAlignment="1">
      <alignment horizontal="left" vertical="top" wrapText="1"/>
    </xf>
    <xf numFmtId="0" fontId="12" fillId="0" borderId="1" xfId="0" applyFont="1" applyBorder="1" applyAlignment="1">
      <alignment horizontal="left" vertical="top" wrapText="1"/>
    </xf>
    <xf numFmtId="0" fontId="2" fillId="8" borderId="1" xfId="0" applyFont="1" applyFill="1" applyBorder="1" applyAlignment="1">
      <alignment horizontal="left" vertical="top" wrapText="1"/>
    </xf>
    <xf numFmtId="0" fontId="13" fillId="3" borderId="2" xfId="0" applyFont="1" applyFill="1" applyBorder="1" applyAlignment="1">
      <alignment horizontal="left" vertical="top" wrapText="1"/>
    </xf>
    <xf numFmtId="0" fontId="13" fillId="3" borderId="1" xfId="0" applyFont="1" applyFill="1" applyBorder="1" applyAlignment="1">
      <alignment horizontal="left" vertical="top" wrapText="1"/>
    </xf>
    <xf numFmtId="0" fontId="12" fillId="5" borderId="1" xfId="0" applyFont="1" applyFill="1" applyBorder="1" applyAlignment="1">
      <alignment horizontal="left" vertical="top" wrapText="1"/>
    </xf>
    <xf numFmtId="0" fontId="11" fillId="5" borderId="1" xfId="0" applyFont="1" applyFill="1" applyBorder="1" applyAlignment="1">
      <alignment horizontal="left" vertical="top" wrapText="1"/>
    </xf>
  </cellXfs>
  <cellStyles count="1">
    <cellStyle name="Normal" xfId="0" builtinId="0"/>
  </cellStyles>
  <dxfs count="1">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A5C4E-B289-4184-88A6-5ECF249835B4}">
  <dimension ref="A1:C28"/>
  <sheetViews>
    <sheetView workbookViewId="0"/>
  </sheetViews>
  <sheetFormatPr defaultRowHeight="14.5" x14ac:dyDescent="0.35"/>
  <cols>
    <col min="1" max="1" width="14.26953125" customWidth="1"/>
    <col min="2" max="2" width="47" customWidth="1"/>
    <col min="3" max="3" width="38.7265625" customWidth="1"/>
  </cols>
  <sheetData>
    <row r="1" spans="1:3" x14ac:dyDescent="0.35">
      <c r="A1" s="20" t="s">
        <v>0</v>
      </c>
      <c r="B1" s="20" t="s">
        <v>3</v>
      </c>
      <c r="C1" s="20" t="s">
        <v>4</v>
      </c>
    </row>
    <row r="2" spans="1:3" ht="25" x14ac:dyDescent="0.35">
      <c r="A2" s="21" t="s">
        <v>8</v>
      </c>
      <c r="B2" s="27"/>
      <c r="C2" s="27"/>
    </row>
    <row r="3" spans="1:3" ht="25" x14ac:dyDescent="0.35">
      <c r="A3" s="22" t="s">
        <v>9</v>
      </c>
      <c r="B3" s="22" t="s">
        <v>11</v>
      </c>
      <c r="C3" s="22" t="s">
        <v>12</v>
      </c>
    </row>
    <row r="4" spans="1:3" x14ac:dyDescent="0.35">
      <c r="A4" s="22" t="s">
        <v>15</v>
      </c>
      <c r="B4" s="22" t="s">
        <v>18</v>
      </c>
      <c r="C4" s="22" t="s">
        <v>19</v>
      </c>
    </row>
    <row r="5" spans="1:3" ht="25" x14ac:dyDescent="0.35">
      <c r="A5" s="23" t="s">
        <v>21</v>
      </c>
      <c r="B5" s="28"/>
      <c r="C5" s="28"/>
    </row>
    <row r="6" spans="1:3" ht="25" x14ac:dyDescent="0.35">
      <c r="A6" s="22" t="s">
        <v>22</v>
      </c>
      <c r="B6" s="22" t="s">
        <v>25</v>
      </c>
      <c r="C6" s="22" t="s">
        <v>26</v>
      </c>
    </row>
    <row r="7" spans="1:3" ht="25" x14ac:dyDescent="0.35">
      <c r="A7" s="22" t="s">
        <v>27</v>
      </c>
      <c r="B7" s="22" t="s">
        <v>11</v>
      </c>
      <c r="C7" s="22" t="s">
        <v>12</v>
      </c>
    </row>
    <row r="8" spans="1:3" ht="37.5" x14ac:dyDescent="0.35">
      <c r="A8" s="22" t="s">
        <v>31</v>
      </c>
      <c r="B8" s="22" t="s">
        <v>170</v>
      </c>
      <c r="C8" s="22" t="s">
        <v>33</v>
      </c>
    </row>
    <row r="9" spans="1:3" ht="37.5" x14ac:dyDescent="0.35">
      <c r="A9" s="23" t="s">
        <v>192</v>
      </c>
      <c r="B9" s="28"/>
      <c r="C9" s="28"/>
    </row>
    <row r="10" spans="1:3" x14ac:dyDescent="0.35">
      <c r="A10" s="22" t="s">
        <v>34</v>
      </c>
      <c r="B10" s="22" t="s">
        <v>35</v>
      </c>
      <c r="C10" s="22" t="s">
        <v>36</v>
      </c>
    </row>
    <row r="11" spans="1:3" ht="25" x14ac:dyDescent="0.35">
      <c r="A11" s="22" t="s">
        <v>37</v>
      </c>
      <c r="B11" s="22" t="s">
        <v>11</v>
      </c>
      <c r="C11" s="22" t="s">
        <v>12</v>
      </c>
    </row>
    <row r="12" spans="1:3" ht="25" x14ac:dyDescent="0.35">
      <c r="A12" s="22" t="s">
        <v>38</v>
      </c>
      <c r="B12" s="22" t="s">
        <v>11</v>
      </c>
      <c r="C12" s="22" t="s">
        <v>12</v>
      </c>
    </row>
    <row r="13" spans="1:3" ht="25" x14ac:dyDescent="0.35">
      <c r="A13" s="23" t="s">
        <v>39</v>
      </c>
      <c r="B13" s="28"/>
      <c r="C13" s="28"/>
    </row>
    <row r="14" spans="1:3" ht="25" x14ac:dyDescent="0.35">
      <c r="A14" s="22" t="s">
        <v>40</v>
      </c>
      <c r="B14" s="22" t="s">
        <v>42</v>
      </c>
      <c r="C14" s="22" t="s">
        <v>43</v>
      </c>
    </row>
    <row r="15" spans="1:3" ht="37.5" x14ac:dyDescent="0.35">
      <c r="A15" s="22" t="s">
        <v>44</v>
      </c>
      <c r="B15" s="22" t="s">
        <v>168</v>
      </c>
      <c r="C15" s="22" t="s">
        <v>47</v>
      </c>
    </row>
    <row r="16" spans="1:3" x14ac:dyDescent="0.35">
      <c r="A16" s="22" t="s">
        <v>48</v>
      </c>
      <c r="B16" s="22" t="s">
        <v>51</v>
      </c>
      <c r="C16" s="22" t="s">
        <v>52</v>
      </c>
    </row>
    <row r="17" spans="1:3" x14ac:dyDescent="0.35">
      <c r="A17" s="22" t="s">
        <v>54</v>
      </c>
      <c r="B17" s="22" t="s">
        <v>56</v>
      </c>
      <c r="C17" s="22" t="s">
        <v>57</v>
      </c>
    </row>
    <row r="18" spans="1:3" ht="25" x14ac:dyDescent="0.35">
      <c r="A18" s="22" t="s">
        <v>58</v>
      </c>
      <c r="B18" s="22" t="s">
        <v>61</v>
      </c>
      <c r="C18" s="22" t="s">
        <v>62</v>
      </c>
    </row>
    <row r="19" spans="1:3" ht="25" x14ac:dyDescent="0.35">
      <c r="A19" s="23" t="s">
        <v>63</v>
      </c>
      <c r="B19" s="28"/>
      <c r="C19" s="28"/>
    </row>
    <row r="20" spans="1:3" x14ac:dyDescent="0.35">
      <c r="A20" s="24" t="s">
        <v>64</v>
      </c>
      <c r="B20" s="24" t="s">
        <v>66</v>
      </c>
      <c r="C20" s="24" t="s">
        <v>12</v>
      </c>
    </row>
    <row r="21" spans="1:3" x14ac:dyDescent="0.35">
      <c r="A21" s="24" t="s">
        <v>67</v>
      </c>
      <c r="B21" s="24" t="s">
        <v>69</v>
      </c>
      <c r="C21" s="24" t="s">
        <v>70</v>
      </c>
    </row>
    <row r="22" spans="1:3" ht="25" x14ac:dyDescent="0.35">
      <c r="A22" s="22" t="s">
        <v>71</v>
      </c>
      <c r="B22" s="22" t="s">
        <v>74</v>
      </c>
      <c r="C22" s="22" t="s">
        <v>75</v>
      </c>
    </row>
    <row r="23" spans="1:3" ht="25" x14ac:dyDescent="0.35">
      <c r="A23" s="25" t="s">
        <v>76</v>
      </c>
      <c r="B23" s="25" t="s">
        <v>193</v>
      </c>
      <c r="C23" s="25" t="s">
        <v>78</v>
      </c>
    </row>
    <row r="24" spans="1:3" ht="25" x14ac:dyDescent="0.35">
      <c r="A24" s="22" t="s">
        <v>79</v>
      </c>
      <c r="B24" s="25" t="s">
        <v>80</v>
      </c>
      <c r="C24" s="25" t="s">
        <v>47</v>
      </c>
    </row>
    <row r="25" spans="1:3" ht="25" x14ac:dyDescent="0.35">
      <c r="A25" s="22" t="s">
        <v>81</v>
      </c>
      <c r="B25" s="25" t="s">
        <v>11</v>
      </c>
      <c r="C25" s="29" t="s">
        <v>12</v>
      </c>
    </row>
    <row r="26" spans="1:3" x14ac:dyDescent="0.35">
      <c r="A26" s="23" t="s">
        <v>84</v>
      </c>
      <c r="B26" s="28"/>
      <c r="C26" s="28"/>
    </row>
    <row r="27" spans="1:3" x14ac:dyDescent="0.35">
      <c r="A27" s="22" t="s">
        <v>85</v>
      </c>
      <c r="B27" s="22" t="s">
        <v>35</v>
      </c>
      <c r="C27" s="22" t="s">
        <v>88</v>
      </c>
    </row>
    <row r="28" spans="1:3" ht="25" x14ac:dyDescent="0.35">
      <c r="A28" s="22" t="s">
        <v>89</v>
      </c>
      <c r="B28" s="22" t="s">
        <v>11</v>
      </c>
      <c r="C28" s="30" t="s">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8"/>
  <sheetViews>
    <sheetView tabSelected="1" zoomScale="88" zoomScaleNormal="85" workbookViewId="0">
      <selection activeCell="A5" sqref="A5"/>
    </sheetView>
  </sheetViews>
  <sheetFormatPr defaultRowHeight="14.5" x14ac:dyDescent="0.35"/>
  <cols>
    <col min="1" max="1" width="11.7265625" customWidth="1"/>
    <col min="2" max="2" width="20.26953125" customWidth="1"/>
    <col min="3" max="3" width="41.453125" customWidth="1"/>
    <col min="4" max="4" width="40" customWidth="1"/>
    <col min="5" max="5" width="22.81640625" customWidth="1"/>
    <col min="6" max="6" width="10.54296875" customWidth="1"/>
    <col min="7" max="7" width="15.54296875" customWidth="1"/>
    <col min="8" max="8" width="18.81640625" customWidth="1"/>
    <col min="9" max="9" width="74.08984375" customWidth="1"/>
  </cols>
  <sheetData>
    <row r="1" spans="1:9" x14ac:dyDescent="0.35">
      <c r="A1" s="13" t="s">
        <v>0</v>
      </c>
      <c r="B1" s="13" t="s">
        <v>1</v>
      </c>
      <c r="C1" s="13" t="s">
        <v>2</v>
      </c>
      <c r="D1" s="13" t="s">
        <v>3</v>
      </c>
      <c r="E1" s="13" t="s">
        <v>4</v>
      </c>
      <c r="F1" s="13" t="s">
        <v>5</v>
      </c>
      <c r="G1" s="13" t="s">
        <v>6</v>
      </c>
      <c r="H1" s="13" t="s">
        <v>7</v>
      </c>
    </row>
    <row r="2" spans="1:9" ht="25" x14ac:dyDescent="0.35">
      <c r="A2" s="2" t="s">
        <v>8</v>
      </c>
      <c r="B2" s="3"/>
      <c r="C2" s="3"/>
      <c r="D2" s="3"/>
      <c r="E2" s="3"/>
      <c r="F2" s="3"/>
      <c r="G2" s="3"/>
      <c r="H2" s="3"/>
    </row>
    <row r="3" spans="1:9" ht="37.5" x14ac:dyDescent="0.35">
      <c r="A3" s="4" t="s">
        <v>9</v>
      </c>
      <c r="B3" s="4" t="s">
        <v>10</v>
      </c>
      <c r="C3" s="4" t="s">
        <v>158</v>
      </c>
      <c r="D3" s="4" t="s">
        <v>11</v>
      </c>
      <c r="E3" s="4" t="s">
        <v>12</v>
      </c>
      <c r="F3" s="4" t="s">
        <v>13</v>
      </c>
      <c r="G3" s="4" t="s">
        <v>14</v>
      </c>
      <c r="H3" s="4" t="s">
        <v>172</v>
      </c>
    </row>
    <row r="4" spans="1:9" ht="37.5" x14ac:dyDescent="0.35">
      <c r="A4" s="4" t="s">
        <v>15</v>
      </c>
      <c r="B4" s="4" t="s">
        <v>16</v>
      </c>
      <c r="C4" s="4" t="s">
        <v>17</v>
      </c>
      <c r="D4" s="4" t="s">
        <v>18</v>
      </c>
      <c r="E4" s="4" t="s">
        <v>19</v>
      </c>
      <c r="F4" s="4" t="s">
        <v>13</v>
      </c>
      <c r="G4" s="4" t="s">
        <v>20</v>
      </c>
      <c r="H4" s="4" t="s">
        <v>172</v>
      </c>
    </row>
    <row r="5" spans="1:9" ht="25" x14ac:dyDescent="0.35">
      <c r="A5" s="5" t="s">
        <v>21</v>
      </c>
      <c r="B5" s="6"/>
      <c r="C5" s="6"/>
      <c r="D5" s="6"/>
      <c r="E5" s="6"/>
      <c r="F5" s="6"/>
      <c r="G5" s="6"/>
      <c r="H5" s="6"/>
    </row>
    <row r="6" spans="1:9" ht="75" x14ac:dyDescent="0.35">
      <c r="A6" s="4" t="s">
        <v>22</v>
      </c>
      <c r="B6" s="4" t="s">
        <v>23</v>
      </c>
      <c r="C6" s="4" t="s">
        <v>24</v>
      </c>
      <c r="D6" s="4" t="s">
        <v>25</v>
      </c>
      <c r="E6" s="4" t="s">
        <v>26</v>
      </c>
      <c r="F6" s="4" t="s">
        <v>13</v>
      </c>
      <c r="G6" s="4" t="s">
        <v>14</v>
      </c>
      <c r="H6" s="4" t="s">
        <v>172</v>
      </c>
    </row>
    <row r="7" spans="1:9" ht="37.5" x14ac:dyDescent="0.35">
      <c r="A7" s="4" t="s">
        <v>27</v>
      </c>
      <c r="B7" s="4" t="s">
        <v>28</v>
      </c>
      <c r="C7" s="4" t="s">
        <v>159</v>
      </c>
      <c r="D7" s="4" t="s">
        <v>11</v>
      </c>
      <c r="E7" s="4" t="s">
        <v>12</v>
      </c>
      <c r="F7" s="4" t="s">
        <v>29</v>
      </c>
      <c r="G7" s="4" t="s">
        <v>30</v>
      </c>
      <c r="H7" s="4" t="s">
        <v>172</v>
      </c>
      <c r="I7" s="15" t="s">
        <v>181</v>
      </c>
    </row>
    <row r="8" spans="1:9" ht="62.5" x14ac:dyDescent="0.35">
      <c r="A8" s="4" t="s">
        <v>31</v>
      </c>
      <c r="B8" s="4" t="s">
        <v>32</v>
      </c>
      <c r="C8" s="4" t="s">
        <v>160</v>
      </c>
      <c r="D8" s="4" t="s">
        <v>170</v>
      </c>
      <c r="E8" s="4" t="s">
        <v>33</v>
      </c>
      <c r="F8" s="4" t="s">
        <v>13</v>
      </c>
      <c r="G8" s="4" t="s">
        <v>20</v>
      </c>
      <c r="H8" s="4" t="s">
        <v>173</v>
      </c>
      <c r="I8" s="15" t="s">
        <v>194</v>
      </c>
    </row>
    <row r="9" spans="1:9" ht="37.5" x14ac:dyDescent="0.35">
      <c r="A9" s="5" t="s">
        <v>161</v>
      </c>
      <c r="B9" s="6"/>
      <c r="C9" s="6"/>
      <c r="D9" s="6"/>
      <c r="E9" s="6"/>
      <c r="F9" s="6"/>
      <c r="G9" s="6"/>
      <c r="H9" s="6"/>
    </row>
    <row r="10" spans="1:9" ht="50" x14ac:dyDescent="0.35">
      <c r="A10" s="4" t="s">
        <v>34</v>
      </c>
      <c r="B10" s="4" t="s">
        <v>162</v>
      </c>
      <c r="C10" s="4" t="s">
        <v>163</v>
      </c>
      <c r="D10" s="4" t="s">
        <v>35</v>
      </c>
      <c r="E10" s="4" t="s">
        <v>36</v>
      </c>
      <c r="F10" s="4" t="s">
        <v>29</v>
      </c>
      <c r="G10" s="4" t="s">
        <v>20</v>
      </c>
      <c r="H10" s="4" t="s">
        <v>172</v>
      </c>
      <c r="I10" s="15"/>
    </row>
    <row r="11" spans="1:9" ht="62.5" x14ac:dyDescent="0.35">
      <c r="A11" s="4" t="s">
        <v>37</v>
      </c>
      <c r="B11" s="4" t="s">
        <v>165</v>
      </c>
      <c r="C11" s="4" t="s">
        <v>164</v>
      </c>
      <c r="D11" s="4" t="s">
        <v>11</v>
      </c>
      <c r="E11" s="4" t="s">
        <v>12</v>
      </c>
      <c r="F11" s="4" t="s">
        <v>13</v>
      </c>
      <c r="G11" s="4" t="s">
        <v>14</v>
      </c>
      <c r="H11" s="4" t="s">
        <v>172</v>
      </c>
      <c r="I11" s="16" t="s">
        <v>182</v>
      </c>
    </row>
    <row r="12" spans="1:9" ht="50" x14ac:dyDescent="0.35">
      <c r="A12" s="4" t="s">
        <v>38</v>
      </c>
      <c r="B12" s="4" t="s">
        <v>166</v>
      </c>
      <c r="C12" s="4" t="s">
        <v>167</v>
      </c>
      <c r="D12" s="4" t="s">
        <v>11</v>
      </c>
      <c r="E12" s="4" t="s">
        <v>12</v>
      </c>
      <c r="F12" s="4" t="s">
        <v>29</v>
      </c>
      <c r="G12" s="4" t="s">
        <v>14</v>
      </c>
      <c r="H12" s="4" t="s">
        <v>172</v>
      </c>
    </row>
    <row r="13" spans="1:9" ht="25" x14ac:dyDescent="0.35">
      <c r="A13" s="5" t="s">
        <v>39</v>
      </c>
      <c r="B13" s="6"/>
      <c r="C13" s="6"/>
      <c r="D13" s="6"/>
      <c r="E13" s="6"/>
      <c r="F13" s="6"/>
      <c r="G13" s="6"/>
      <c r="H13" s="6"/>
    </row>
    <row r="14" spans="1:9" ht="75" x14ac:dyDescent="0.35">
      <c r="A14" s="4" t="s">
        <v>40</v>
      </c>
      <c r="B14" s="4" t="s">
        <v>41</v>
      </c>
      <c r="C14" s="4" t="s">
        <v>189</v>
      </c>
      <c r="D14" s="4" t="s">
        <v>42</v>
      </c>
      <c r="E14" s="4" t="s">
        <v>43</v>
      </c>
      <c r="F14" s="4" t="s">
        <v>13</v>
      </c>
      <c r="G14" s="4" t="s">
        <v>14</v>
      </c>
      <c r="H14" s="7" t="s">
        <v>172</v>
      </c>
    </row>
    <row r="15" spans="1:9" ht="37.5" x14ac:dyDescent="0.35">
      <c r="A15" s="4" t="s">
        <v>44</v>
      </c>
      <c r="B15" s="4" t="s">
        <v>45</v>
      </c>
      <c r="C15" s="4" t="s">
        <v>46</v>
      </c>
      <c r="D15" s="4" t="s">
        <v>168</v>
      </c>
      <c r="E15" s="4" t="s">
        <v>47</v>
      </c>
      <c r="F15" s="4" t="s">
        <v>29</v>
      </c>
      <c r="G15" s="4" t="s">
        <v>20</v>
      </c>
      <c r="H15" s="7" t="s">
        <v>172</v>
      </c>
    </row>
    <row r="16" spans="1:9" ht="50" x14ac:dyDescent="0.35">
      <c r="A16" s="4" t="s">
        <v>48</v>
      </c>
      <c r="B16" s="4" t="s">
        <v>49</v>
      </c>
      <c r="C16" s="4" t="s">
        <v>50</v>
      </c>
      <c r="D16" s="4" t="s">
        <v>51</v>
      </c>
      <c r="E16" s="4" t="s">
        <v>52</v>
      </c>
      <c r="F16" s="4" t="s">
        <v>53</v>
      </c>
      <c r="G16" s="4" t="s">
        <v>20</v>
      </c>
      <c r="H16" s="7" t="s">
        <v>172</v>
      </c>
    </row>
    <row r="17" spans="1:9" ht="50" x14ac:dyDescent="0.35">
      <c r="A17" s="4" t="s">
        <v>54</v>
      </c>
      <c r="B17" s="4" t="s">
        <v>55</v>
      </c>
      <c r="C17" s="4" t="s">
        <v>186</v>
      </c>
      <c r="D17" s="4" t="s">
        <v>56</v>
      </c>
      <c r="E17" s="4" t="s">
        <v>57</v>
      </c>
      <c r="F17" s="4" t="s">
        <v>13</v>
      </c>
      <c r="G17" s="4" t="s">
        <v>20</v>
      </c>
      <c r="H17" s="14" t="s">
        <v>172</v>
      </c>
    </row>
    <row r="18" spans="1:9" ht="25" x14ac:dyDescent="0.35">
      <c r="A18" s="4" t="s">
        <v>58</v>
      </c>
      <c r="B18" s="4" t="s">
        <v>59</v>
      </c>
      <c r="C18" s="4" t="s">
        <v>60</v>
      </c>
      <c r="D18" s="4" t="s">
        <v>61</v>
      </c>
      <c r="E18" s="4" t="s">
        <v>62</v>
      </c>
      <c r="F18" s="4" t="s">
        <v>29</v>
      </c>
      <c r="G18" s="4" t="s">
        <v>20</v>
      </c>
      <c r="H18" s="7" t="s">
        <v>172</v>
      </c>
    </row>
    <row r="19" spans="1:9" ht="25" x14ac:dyDescent="0.35">
      <c r="A19" s="5" t="s">
        <v>63</v>
      </c>
      <c r="B19" s="6"/>
      <c r="C19" s="6"/>
      <c r="D19" s="6"/>
      <c r="E19" s="6"/>
      <c r="F19" s="6"/>
      <c r="G19" s="6"/>
      <c r="H19" s="6"/>
    </row>
    <row r="20" spans="1:9" ht="37.5" x14ac:dyDescent="0.35">
      <c r="A20" s="8" t="s">
        <v>64</v>
      </c>
      <c r="B20" s="8" t="s">
        <v>65</v>
      </c>
      <c r="C20" s="8" t="s">
        <v>183</v>
      </c>
      <c r="D20" s="8" t="s">
        <v>66</v>
      </c>
      <c r="E20" s="8" t="s">
        <v>12</v>
      </c>
      <c r="F20" s="8" t="s">
        <v>13</v>
      </c>
      <c r="G20" s="8" t="s">
        <v>20</v>
      </c>
      <c r="H20" s="26" t="s">
        <v>188</v>
      </c>
      <c r="I20" s="19" t="s">
        <v>184</v>
      </c>
    </row>
    <row r="21" spans="1:9" ht="25" x14ac:dyDescent="0.35">
      <c r="A21" s="8" t="s">
        <v>67</v>
      </c>
      <c r="B21" s="8" t="s">
        <v>68</v>
      </c>
      <c r="C21" s="8" t="s">
        <v>190</v>
      </c>
      <c r="D21" s="8" t="s">
        <v>69</v>
      </c>
      <c r="E21" s="8" t="s">
        <v>70</v>
      </c>
      <c r="F21" s="8" t="s">
        <v>53</v>
      </c>
      <c r="G21" s="8" t="s">
        <v>20</v>
      </c>
      <c r="H21" s="8" t="s">
        <v>172</v>
      </c>
    </row>
    <row r="22" spans="1:9" ht="37.5" x14ac:dyDescent="0.35">
      <c r="A22" s="4" t="s">
        <v>71</v>
      </c>
      <c r="B22" s="4" t="s">
        <v>72</v>
      </c>
      <c r="C22" s="4" t="s">
        <v>73</v>
      </c>
      <c r="D22" s="4" t="s">
        <v>74</v>
      </c>
      <c r="E22" s="4" t="s">
        <v>75</v>
      </c>
      <c r="F22" s="4" t="s">
        <v>29</v>
      </c>
      <c r="G22" s="4" t="s">
        <v>20</v>
      </c>
      <c r="H22" s="4" t="s">
        <v>172</v>
      </c>
      <c r="I22" s="15" t="s">
        <v>195</v>
      </c>
    </row>
    <row r="23" spans="1:9" ht="37.5" x14ac:dyDescent="0.35">
      <c r="A23" s="9" t="s">
        <v>76</v>
      </c>
      <c r="B23" s="9" t="s">
        <v>77</v>
      </c>
      <c r="C23" s="9" t="s">
        <v>171</v>
      </c>
      <c r="D23" s="9" t="s">
        <v>187</v>
      </c>
      <c r="E23" s="9" t="s">
        <v>78</v>
      </c>
      <c r="F23" s="9" t="s">
        <v>53</v>
      </c>
      <c r="G23" s="9" t="s">
        <v>14</v>
      </c>
      <c r="H23" s="9" t="s">
        <v>172</v>
      </c>
    </row>
    <row r="24" spans="1:9" ht="37.5" x14ac:dyDescent="0.35">
      <c r="A24" s="4" t="s">
        <v>79</v>
      </c>
      <c r="B24" s="9" t="s">
        <v>185</v>
      </c>
      <c r="C24" s="9" t="s">
        <v>169</v>
      </c>
      <c r="D24" s="9" t="s">
        <v>80</v>
      </c>
      <c r="E24" s="9" t="s">
        <v>47</v>
      </c>
      <c r="F24" s="9" t="s">
        <v>53</v>
      </c>
      <c r="G24" s="9" t="s">
        <v>14</v>
      </c>
      <c r="H24" s="9" t="s">
        <v>172</v>
      </c>
    </row>
    <row r="25" spans="1:9" ht="25" x14ac:dyDescent="0.35">
      <c r="A25" s="4" t="s">
        <v>81</v>
      </c>
      <c r="B25" s="9" t="s">
        <v>82</v>
      </c>
      <c r="C25" s="9" t="s">
        <v>83</v>
      </c>
      <c r="D25" s="9" t="s">
        <v>11</v>
      </c>
      <c r="E25" s="10" t="s">
        <v>12</v>
      </c>
      <c r="F25" s="9" t="s">
        <v>29</v>
      </c>
      <c r="G25" s="9" t="s">
        <v>20</v>
      </c>
      <c r="H25" s="9" t="s">
        <v>172</v>
      </c>
    </row>
    <row r="26" spans="1:9" ht="25" x14ac:dyDescent="0.35">
      <c r="A26" s="5" t="s">
        <v>84</v>
      </c>
      <c r="B26" s="6"/>
      <c r="C26" s="6"/>
      <c r="D26" s="6"/>
      <c r="E26" s="6"/>
      <c r="F26" s="6"/>
      <c r="G26" s="6"/>
      <c r="H26" s="6"/>
    </row>
    <row r="27" spans="1:9" ht="37.5" x14ac:dyDescent="0.35">
      <c r="A27" s="4" t="s">
        <v>85</v>
      </c>
      <c r="B27" s="4" t="s">
        <v>86</v>
      </c>
      <c r="C27" s="4" t="s">
        <v>87</v>
      </c>
      <c r="D27" s="4" t="s">
        <v>35</v>
      </c>
      <c r="E27" s="4" t="s">
        <v>88</v>
      </c>
      <c r="F27" s="4" t="s">
        <v>29</v>
      </c>
      <c r="G27" s="4" t="s">
        <v>30</v>
      </c>
      <c r="H27" s="4" t="s">
        <v>172</v>
      </c>
    </row>
    <row r="28" spans="1:9" ht="25" x14ac:dyDescent="0.35">
      <c r="A28" s="4" t="s">
        <v>89</v>
      </c>
      <c r="B28" s="4" t="s">
        <v>90</v>
      </c>
      <c r="C28" s="4" t="s">
        <v>91</v>
      </c>
      <c r="D28" s="4" t="s">
        <v>11</v>
      </c>
      <c r="E28" s="11" t="s">
        <v>12</v>
      </c>
      <c r="F28" s="4" t="s">
        <v>29</v>
      </c>
      <c r="G28" s="4" t="s">
        <v>30</v>
      </c>
      <c r="H28" s="4" t="s">
        <v>172</v>
      </c>
    </row>
  </sheetData>
  <conditionalFormatting sqref="H3:H12 I20 I22 H14:H18 H20:H28">
    <cfRule type="cellIs" dxfId="0" priority="1" operator="notEqual">
      <formula>"Built"</formula>
    </cfRule>
  </conditionalFormatting>
  <dataValidations count="3">
    <dataValidation type="list" allowBlank="1" showInputMessage="1" showErrorMessage="1" sqref="F1:F28" xr:uid="{00000000-0002-0000-0000-000000000000}">
      <formula1>"Must, Should, Could, Won’t"</formula1>
    </dataValidation>
    <dataValidation type="list" allowBlank="1" showInputMessage="1" showErrorMessage="1" sqref="G1:G28 H13 H19" xr:uid="{00000000-0002-0000-0000-000002000000}">
      <formula1>"TUM-specific, Adaptable, Generic"</formula1>
    </dataValidation>
    <dataValidation type="list" allowBlank="1" showInputMessage="1" showErrorMessage="1" sqref="H1:H12 H14:H18 H20:H28" xr:uid="{00000000-0002-0000-0000-000001000000}">
      <formula1>"Built, Partial, Not in Prototype, Not Planned"</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
  <sheetViews>
    <sheetView workbookViewId="0">
      <selection activeCell="E4" sqref="E4"/>
    </sheetView>
  </sheetViews>
  <sheetFormatPr defaultRowHeight="14.5" x14ac:dyDescent="0.35"/>
  <cols>
    <col min="1" max="1" width="2.81640625" customWidth="1"/>
    <col min="2" max="2" width="27.54296875" customWidth="1"/>
    <col min="3" max="3" width="47.54296875" customWidth="1"/>
  </cols>
  <sheetData>
    <row r="1" spans="1:3" x14ac:dyDescent="0.35">
      <c r="A1" s="12" t="s">
        <v>148</v>
      </c>
      <c r="B1" s="12" t="s">
        <v>149</v>
      </c>
      <c r="C1" s="12" t="s">
        <v>191</v>
      </c>
    </row>
    <row r="2" spans="1:3" ht="50" x14ac:dyDescent="0.35">
      <c r="A2" s="9">
        <v>1</v>
      </c>
      <c r="B2" s="9" t="s">
        <v>150</v>
      </c>
      <c r="C2" s="9" t="s">
        <v>151</v>
      </c>
    </row>
    <row r="3" spans="1:3" ht="25" x14ac:dyDescent="0.35">
      <c r="A3" s="9">
        <v>2</v>
      </c>
      <c r="B3" s="9" t="s">
        <v>152</v>
      </c>
      <c r="C3" s="9" t="s">
        <v>153</v>
      </c>
    </row>
    <row r="4" spans="1:3" ht="25" x14ac:dyDescent="0.35">
      <c r="A4" s="9">
        <v>3</v>
      </c>
      <c r="B4" s="9" t="s">
        <v>154</v>
      </c>
      <c r="C4" s="9" t="s">
        <v>155</v>
      </c>
    </row>
    <row r="5" spans="1:3" ht="25" x14ac:dyDescent="0.35">
      <c r="A5" s="9">
        <v>4</v>
      </c>
      <c r="B5" s="9" t="s">
        <v>156</v>
      </c>
      <c r="C5" s="9"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9"/>
  <sheetViews>
    <sheetView workbookViewId="0">
      <selection activeCell="D19" sqref="D19"/>
    </sheetView>
  </sheetViews>
  <sheetFormatPr defaultRowHeight="14.5" x14ac:dyDescent="0.35"/>
  <cols>
    <col min="1" max="1" width="4.81640625" customWidth="1"/>
    <col min="2" max="2" width="38.54296875" customWidth="1"/>
    <col min="3" max="3" width="28.453125" customWidth="1"/>
    <col min="4" max="4" width="15.81640625" customWidth="1"/>
  </cols>
  <sheetData>
    <row r="1" spans="1:4" x14ac:dyDescent="0.35">
      <c r="A1" s="1" t="s">
        <v>175</v>
      </c>
      <c r="B1" s="1" t="s">
        <v>176</v>
      </c>
      <c r="C1" s="1" t="s">
        <v>92</v>
      </c>
      <c r="D1" s="17" t="s">
        <v>174</v>
      </c>
    </row>
    <row r="2" spans="1:4" x14ac:dyDescent="0.35">
      <c r="A2" s="4" t="s">
        <v>93</v>
      </c>
      <c r="B2" s="4" t="s">
        <v>94</v>
      </c>
      <c r="C2" s="4" t="s">
        <v>95</v>
      </c>
      <c r="D2" s="18" t="s">
        <v>177</v>
      </c>
    </row>
    <row r="3" spans="1:4" x14ac:dyDescent="0.35">
      <c r="A3" s="4" t="s">
        <v>96</v>
      </c>
      <c r="B3" s="4" t="s">
        <v>97</v>
      </c>
      <c r="C3" s="4" t="s">
        <v>95</v>
      </c>
      <c r="D3" s="18" t="s">
        <v>177</v>
      </c>
    </row>
    <row r="4" spans="1:4" x14ac:dyDescent="0.35">
      <c r="A4" s="4" t="s">
        <v>98</v>
      </c>
      <c r="B4" s="4" t="s">
        <v>99</v>
      </c>
      <c r="C4" s="4" t="s">
        <v>95</v>
      </c>
      <c r="D4" s="18" t="s">
        <v>177</v>
      </c>
    </row>
    <row r="5" spans="1:4" x14ac:dyDescent="0.35">
      <c r="A5" s="4" t="s">
        <v>100</v>
      </c>
      <c r="B5" s="4" t="s">
        <v>101</v>
      </c>
      <c r="C5" s="4" t="s">
        <v>95</v>
      </c>
      <c r="D5" s="18" t="s">
        <v>177</v>
      </c>
    </row>
    <row r="6" spans="1:4" x14ac:dyDescent="0.35">
      <c r="A6" s="4" t="s">
        <v>102</v>
      </c>
      <c r="B6" s="4" t="s">
        <v>103</v>
      </c>
      <c r="C6" s="4" t="s">
        <v>95</v>
      </c>
      <c r="D6" s="18" t="s">
        <v>177</v>
      </c>
    </row>
    <row r="7" spans="1:4" x14ac:dyDescent="0.35">
      <c r="A7" s="4" t="s">
        <v>104</v>
      </c>
      <c r="B7" s="4" t="s">
        <v>105</v>
      </c>
      <c r="C7" s="4" t="s">
        <v>95</v>
      </c>
      <c r="D7" s="18" t="s">
        <v>178</v>
      </c>
    </row>
    <row r="8" spans="1:4" x14ac:dyDescent="0.35">
      <c r="A8" s="4" t="s">
        <v>106</v>
      </c>
      <c r="B8" s="4" t="s">
        <v>107</v>
      </c>
      <c r="C8" s="4" t="s">
        <v>95</v>
      </c>
      <c r="D8" s="18" t="s">
        <v>178</v>
      </c>
    </row>
    <row r="9" spans="1:4" x14ac:dyDescent="0.35">
      <c r="A9" s="4" t="s">
        <v>108</v>
      </c>
      <c r="B9" s="4" t="s">
        <v>109</v>
      </c>
      <c r="C9" s="4" t="s">
        <v>95</v>
      </c>
      <c r="D9" s="18" t="s">
        <v>177</v>
      </c>
    </row>
    <row r="10" spans="1:4" x14ac:dyDescent="0.35">
      <c r="A10" s="4" t="s">
        <v>110</v>
      </c>
      <c r="B10" s="4" t="s">
        <v>111</v>
      </c>
      <c r="C10" s="4" t="s">
        <v>95</v>
      </c>
      <c r="D10" s="18" t="s">
        <v>177</v>
      </c>
    </row>
    <row r="11" spans="1:4" x14ac:dyDescent="0.35">
      <c r="A11" s="4" t="s">
        <v>52</v>
      </c>
      <c r="B11" s="4" t="s">
        <v>112</v>
      </c>
      <c r="C11" s="4" t="s">
        <v>95</v>
      </c>
      <c r="D11" s="18" t="s">
        <v>178</v>
      </c>
    </row>
    <row r="12" spans="1:4" x14ac:dyDescent="0.35">
      <c r="A12" s="4" t="s">
        <v>113</v>
      </c>
      <c r="B12" s="4" t="s">
        <v>114</v>
      </c>
      <c r="C12" s="4" t="s">
        <v>95</v>
      </c>
      <c r="D12" s="18" t="s">
        <v>178</v>
      </c>
    </row>
    <row r="13" spans="1:4" x14ac:dyDescent="0.35">
      <c r="A13" s="4" t="s">
        <v>115</v>
      </c>
      <c r="B13" s="4" t="s">
        <v>116</v>
      </c>
      <c r="C13" s="4" t="s">
        <v>95</v>
      </c>
      <c r="D13" s="18" t="s">
        <v>177</v>
      </c>
    </row>
    <row r="14" spans="1:4" x14ac:dyDescent="0.35">
      <c r="A14" s="4" t="s">
        <v>117</v>
      </c>
      <c r="B14" s="4" t="s">
        <v>118</v>
      </c>
      <c r="C14" s="4" t="s">
        <v>95</v>
      </c>
      <c r="D14" s="18" t="s">
        <v>177</v>
      </c>
    </row>
    <row r="15" spans="1:4" x14ac:dyDescent="0.35">
      <c r="A15" s="4" t="s">
        <v>119</v>
      </c>
      <c r="B15" s="4" t="s">
        <v>120</v>
      </c>
      <c r="C15" s="4" t="s">
        <v>121</v>
      </c>
      <c r="D15" s="18" t="s">
        <v>177</v>
      </c>
    </row>
    <row r="16" spans="1:4" x14ac:dyDescent="0.35">
      <c r="A16" s="4" t="s">
        <v>122</v>
      </c>
      <c r="B16" s="4" t="s">
        <v>123</v>
      </c>
      <c r="C16" s="4" t="s">
        <v>121</v>
      </c>
      <c r="D16" s="18" t="s">
        <v>177</v>
      </c>
    </row>
    <row r="17" spans="1:4" x14ac:dyDescent="0.35">
      <c r="A17" s="4" t="s">
        <v>124</v>
      </c>
      <c r="B17" s="4" t="s">
        <v>125</v>
      </c>
      <c r="C17" s="4" t="s">
        <v>121</v>
      </c>
      <c r="D17" s="18" t="s">
        <v>178</v>
      </c>
    </row>
    <row r="18" spans="1:4" x14ac:dyDescent="0.35">
      <c r="A18" s="4" t="s">
        <v>19</v>
      </c>
      <c r="B18" s="4" t="s">
        <v>126</v>
      </c>
      <c r="C18" s="4" t="s">
        <v>121</v>
      </c>
      <c r="D18" s="18" t="s">
        <v>178</v>
      </c>
    </row>
    <row r="19" spans="1:4" x14ac:dyDescent="0.35">
      <c r="A19" s="4" t="s">
        <v>127</v>
      </c>
      <c r="B19" s="4" t="s">
        <v>128</v>
      </c>
      <c r="C19" s="4" t="s">
        <v>121</v>
      </c>
      <c r="D19" s="18" t="s">
        <v>178</v>
      </c>
    </row>
    <row r="20" spans="1:4" x14ac:dyDescent="0.35">
      <c r="A20" s="4" t="s">
        <v>129</v>
      </c>
      <c r="B20" s="4" t="s">
        <v>130</v>
      </c>
      <c r="C20" s="4" t="s">
        <v>131</v>
      </c>
      <c r="D20" s="18" t="s">
        <v>178</v>
      </c>
    </row>
    <row r="21" spans="1:4" ht="25" x14ac:dyDescent="0.35">
      <c r="A21" s="4" t="s">
        <v>132</v>
      </c>
      <c r="B21" s="4" t="s">
        <v>133</v>
      </c>
      <c r="C21" s="4" t="s">
        <v>134</v>
      </c>
      <c r="D21" s="18" t="s">
        <v>178</v>
      </c>
    </row>
    <row r="22" spans="1:4" x14ac:dyDescent="0.35">
      <c r="A22" s="4" t="s">
        <v>135</v>
      </c>
      <c r="B22" s="4" t="s">
        <v>136</v>
      </c>
      <c r="C22" s="4" t="s">
        <v>137</v>
      </c>
      <c r="D22" s="18" t="s">
        <v>177</v>
      </c>
    </row>
    <row r="23" spans="1:4" x14ac:dyDescent="0.35">
      <c r="A23" s="4" t="s">
        <v>78</v>
      </c>
      <c r="B23" s="4" t="s">
        <v>136</v>
      </c>
      <c r="C23" s="4" t="s">
        <v>137</v>
      </c>
      <c r="D23" s="18" t="s">
        <v>177</v>
      </c>
    </row>
    <row r="24" spans="1:4" x14ac:dyDescent="0.35">
      <c r="A24" s="4" t="s">
        <v>138</v>
      </c>
      <c r="B24" s="4" t="s">
        <v>139</v>
      </c>
      <c r="C24" s="4" t="s">
        <v>131</v>
      </c>
      <c r="D24" s="18" t="s">
        <v>178</v>
      </c>
    </row>
    <row r="25" spans="1:4" x14ac:dyDescent="0.35">
      <c r="A25" s="4" t="s">
        <v>140</v>
      </c>
      <c r="B25" s="4" t="s">
        <v>141</v>
      </c>
      <c r="C25" s="4" t="s">
        <v>142</v>
      </c>
      <c r="D25" s="18" t="s">
        <v>177</v>
      </c>
    </row>
    <row r="26" spans="1:4" x14ac:dyDescent="0.35">
      <c r="A26" s="4" t="s">
        <v>143</v>
      </c>
      <c r="B26" s="4" t="s">
        <v>144</v>
      </c>
      <c r="C26" s="4" t="s">
        <v>145</v>
      </c>
      <c r="D26" s="18" t="s">
        <v>177</v>
      </c>
    </row>
    <row r="27" spans="1:4" x14ac:dyDescent="0.35">
      <c r="A27" s="4" t="s">
        <v>146</v>
      </c>
      <c r="B27" s="4" t="s">
        <v>147</v>
      </c>
      <c r="C27" s="4" t="s">
        <v>145</v>
      </c>
      <c r="D27" s="18" t="s">
        <v>177</v>
      </c>
    </row>
    <row r="28" spans="1:4" x14ac:dyDescent="0.35">
      <c r="C28" t="s">
        <v>179</v>
      </c>
      <c r="D28">
        <f>COUNTIF(D2:D27,D16)</f>
        <v>16</v>
      </c>
    </row>
    <row r="29" spans="1:4" x14ac:dyDescent="0.35">
      <c r="C29" t="s">
        <v>180</v>
      </c>
      <c r="D29">
        <f>COUNTIF(D3:D28,D19)</f>
        <v>10</v>
      </c>
    </row>
  </sheetData>
  <autoFilter ref="D2:D27" xr:uid="{00000000-0001-0000-0100-000000000000}"/>
  <dataValidations count="1">
    <dataValidation type="list" allowBlank="1" showInputMessage="1" showErrorMessage="1" sqref="D2:D27" xr:uid="{8B45246A-94AE-4CBA-A7D3-F1FD16226446}">
      <formula1>"Written response, Interview"</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72A6C8471E7210488FB2A8F69895B9CC" ma:contentTypeVersion="1" ma:contentTypeDescription="Ein neues Dokument erstellen." ma:contentTypeScope="" ma:versionID="76e91a76b45ea764b42bbb1898e61559">
  <xsd:schema xmlns:xsd="http://www.w3.org/2001/XMLSchema" xmlns:xs="http://www.w3.org/2001/XMLSchema" xmlns:p="http://schemas.microsoft.com/office/2006/metadata/properties" xmlns:ns3="29671bd3-f04c-44c5-994c-1a02d2686427" targetNamespace="http://schemas.microsoft.com/office/2006/metadata/properties" ma:root="true" ma:fieldsID="8721d2c1d2406d62ed386112b33a31a7" ns3:_="">
    <xsd:import namespace="29671bd3-f04c-44c5-994c-1a02d2686427"/>
    <xsd:element name="properties">
      <xsd:complexType>
        <xsd:sequence>
          <xsd:element name="documentManagement">
            <xsd:complexType>
              <xsd:all>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671bd3-f04c-44c5-994c-1a02d2686427"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0B01405-9A5B-4AA5-BA93-BF30C137752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9671bd3-f04c-44c5-994c-1a02d268642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FDD99FC-CBE6-412D-9919-A21CCB41123E}">
  <ds:schemaRefs>
    <ds:schemaRef ds:uri="http://schemas.microsoft.com/sharepoint/v3/contenttype/forms"/>
  </ds:schemaRefs>
</ds:datastoreItem>
</file>

<file path=customXml/itemProps3.xml><?xml version="1.0" encoding="utf-8"?>
<ds:datastoreItem xmlns:ds="http://schemas.openxmlformats.org/officeDocument/2006/customXml" ds:itemID="{1B6F82E0-B02C-4B05-AF5A-BA362433C7EA}">
  <ds:schemaRefs>
    <ds:schemaRef ds:uri="http://schemas.microsoft.com/office/2006/metadata/properties"/>
    <ds:schemaRef ds:uri="http://purl.org/dc/dcmitype/"/>
    <ds:schemaRef ds:uri="http://purl.org/dc/terms/"/>
    <ds:schemaRef ds:uri="http://purl.org/dc/elements/1.1/"/>
    <ds:schemaRef ds:uri="http://schemas.microsoft.com/office/infopath/2007/PartnerControls"/>
    <ds:schemaRef ds:uri="http://schemas.microsoft.com/office/2006/documentManagement/types"/>
    <ds:schemaRef ds:uri="http://schemas.openxmlformats.org/package/2006/metadata/core-properties"/>
    <ds:schemaRef ds:uri="29671bd3-f04c-44c5-994c-1a02d2686427"/>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Traceability Table, Section 9.1</vt:lpstr>
      <vt:lpstr>Traceability Table Appendix C</vt:lpstr>
      <vt:lpstr>Interview Guide Appendix A</vt:lpstr>
      <vt:lpstr>Participant Overview Appendix B</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2015-06-05T18:17:20Z</dcterms:created>
  <dcterms:modified xsi:type="dcterms:W3CDTF">2026-08-17T19:11:06Z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0x01010072A6C8471E7210488FB2A8F69895B9CC</vt:lpwstr>
  </property>
</Properties>
</file>